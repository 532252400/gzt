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<sst xmlns="http://schemas.openxmlformats.org/spreadsheetml/2006/main" count="126" uniqueCount="57">
  <si>
    <t>通知单</t>
  </si>
  <si>
    <t>到货单</t>
  </si>
  <si>
    <t>SKU</t>
  </si>
  <si>
    <t>品名</t>
  </si>
  <si>
    <t>通知收货量</t>
  </si>
  <si>
    <r>
      <rPr>
        <b/>
        <sz val="10"/>
        <color theme="1"/>
        <rFont val="微软雅黑"/>
        <charset val="134"/>
      </rPr>
      <t xml:space="preserve">品名   </t>
    </r>
    <r>
      <rPr>
        <b/>
        <sz val="16"/>
        <color rgb="FFFF0000"/>
        <rFont val="微软雅黑"/>
        <charset val="134"/>
      </rPr>
      <t xml:space="preserve">  7月5日整车发出明细</t>
    </r>
  </si>
  <si>
    <t>数量</t>
  </si>
  <si>
    <t>HW-YGLYP-121</t>
  </si>
  <si>
    <t>150ml/5oz 番茄酱瓶-（黑色塑料盖）</t>
  </si>
  <si>
    <t>GN-TMHJP-750</t>
  </si>
  <si>
    <t>750ml 透明红酒瓶72*323mm 1631个/托</t>
  </si>
  <si>
    <t>GN-YDBLP-500</t>
  </si>
  <si>
    <t>500ml 运动玻璃瓶 3260/托 单瓶</t>
  </si>
  <si>
    <t>HS-94005-005</t>
  </si>
  <si>
    <t>2oz 60ml波士顿 透明玻璃瓶39*94mm 240/箱</t>
  </si>
  <si>
    <t>SP-GKJGS-250</t>
  </si>
  <si>
    <t>钢卡扣加红色盖塞（细）（125+250+375ml方形+1000ml圆底卡扣瓶通用 ）1000/箱</t>
  </si>
  <si>
    <t>HS-94008-004</t>
  </si>
  <si>
    <t>4oz 玻璃瓶 24牙胶木盖 2000/箱</t>
  </si>
  <si>
    <t>SP-KKPSZ-250</t>
  </si>
  <si>
    <t>红色橡胶塞（125+250+375+500ml+1000ml卡扣瓶通用）</t>
  </si>
  <si>
    <t>HS-94008-007</t>
  </si>
  <si>
    <t>8oz 透明玻璃瓶 61*139mm 96/箱 2352/托</t>
  </si>
  <si>
    <t>SP-FXKKP-250</t>
  </si>
  <si>
    <t>250ML 方形卡扣瓶（乐扣啤酒瓶） 单瓶 4356/托</t>
  </si>
  <si>
    <t>HS-MSG32-DKD</t>
  </si>
  <si>
    <t>32oz 透明带刻度梅森罐 - 单瓶 980/托</t>
  </si>
  <si>
    <t>HW-JNP00-DP</t>
  </si>
  <si>
    <t>胶囊瓶 压敏垫片 6000/箱</t>
  </si>
  <si>
    <t>HW-JNP04-BGZ</t>
  </si>
  <si>
    <t>2oz/4oz 胶囊瓶 白色盖子 2772/箱</t>
  </si>
  <si>
    <t>HW-TMJNP-120</t>
  </si>
  <si>
    <t>4oz/120ml 透明玻璃胶囊瓶 144/箱 5424/托</t>
  </si>
  <si>
    <t>HW-KKYLP-500</t>
  </si>
  <si>
    <t>16oz/500ml 宽口玻璃饮料瓶 3080/托</t>
  </si>
  <si>
    <t>HW-KKYLP-HGZ</t>
  </si>
  <si>
    <t>16oz/500ml 宽口玻璃饮料瓶 黑色塑料盖+垫片</t>
  </si>
  <si>
    <t>SP-YDKKP-1L</t>
  </si>
  <si>
    <t>32oz/1000ML 透明圆底卡扣瓶（乐扣啤酒瓶） 单瓶</t>
  </si>
  <si>
    <t>HW-YGLYP-120</t>
  </si>
  <si>
    <t>150ml/5oz 番茄酱瓶-透明48*168mm 单瓶 3948/托 伐客3600/托</t>
  </si>
  <si>
    <t>SP-CSKKP-1L</t>
  </si>
  <si>
    <t>32OZ 茶色圆底乐扣啤酒瓶 单瓶 616/托</t>
  </si>
  <si>
    <t>SP-GKJGS-1L</t>
  </si>
  <si>
    <t>钢卡扣加红色盖塞（粗）（1000ml乐扣啤酒瓶）</t>
  </si>
  <si>
    <t>HW-YGLYP-1212</t>
  </si>
  <si>
    <t>150ml/5oz 番茄酱瓶-（白色内塞）</t>
  </si>
  <si>
    <t>HW-YGLYP-122</t>
  </si>
  <si>
    <t>150ml/5oz 番茄酱瓶-（红色塑料盖）</t>
  </si>
  <si>
    <t>LS-14KFB-100</t>
  </si>
  <si>
    <t>14oz 太阳花纹把手咖啡杯 - 单杯</t>
  </si>
  <si>
    <t>LS-14KFB-200</t>
  </si>
  <si>
    <t>14oz 珠点纹把手咖啡杯 - 单杯</t>
  </si>
  <si>
    <t>SP-MSG04-ZS</t>
  </si>
  <si>
    <t>4OZ 钻石鱼子酱梅森罐 5940/托</t>
  </si>
  <si>
    <t>SP-MSG04-CHFY</t>
  </si>
  <si>
    <t>4oz 透明窗花鱼子酱罐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</si>
</sst>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6"/>
      <color rgb="FFFF0000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vertical="center"/>
    </xf>
    <xf numFmtId="0" fontId="3" fillId="2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37" fontId="1" fillId="0" borderId="0" xfId="0" applyNumberFormat="1" applyFont="1" applyAlignment="1">
      <alignment wrapText="1"/>
    </xf>
    <xf numFmtId="0" fontId="5" fillId="0" borderId="1" xfId="0" applyNumberFormat="1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tabSelected="1" workbookViewId="0">
      <selection activeCell="D17" sqref="D17"/>
    </sheetView>
  </sheetViews>
  <sheetFormatPr defaultColWidth="9" defaultRowHeight="13.5" outlineLevelCol="6"/>
  <cols>
    <col min="1" max="1" width="13.625" style="1" customWidth="1"/>
    <col min="2" max="2" width="69.75" style="1" customWidth="1"/>
    <col min="3" max="3" width="20.7083333333333" style="1" customWidth="1"/>
    <col min="5" max="5" width="15.625" customWidth="1"/>
    <col min="6" max="6" width="70.625" customWidth="1"/>
    <col min="7" max="7" width="6.375" customWidth="1"/>
  </cols>
  <sheetData>
    <row r="1" spans="1:7">
      <c r="A1" s="2" t="s">
        <v>0</v>
      </c>
      <c r="B1" s="2"/>
      <c r="C1" s="2"/>
      <c r="E1" s="3" t="s">
        <v>1</v>
      </c>
      <c r="F1" s="3"/>
      <c r="G1" s="3"/>
    </row>
    <row r="2" ht="22.5" spans="1:7">
      <c r="A2" s="4" t="s">
        <v>2</v>
      </c>
      <c r="B2" s="4" t="s">
        <v>3</v>
      </c>
      <c r="C2" s="4" t="s">
        <v>4</v>
      </c>
      <c r="E2" s="5" t="s">
        <v>2</v>
      </c>
      <c r="F2" s="5" t="s">
        <v>5</v>
      </c>
      <c r="G2" s="6" t="s">
        <v>6</v>
      </c>
    </row>
    <row r="3" ht="16.8" customHeight="1" spans="1:7">
      <c r="A3" s="1" t="s">
        <v>7</v>
      </c>
      <c r="B3" s="1" t="s">
        <v>8</v>
      </c>
      <c r="C3" s="7">
        <v>36530</v>
      </c>
      <c r="E3" s="8" t="s">
        <v>9</v>
      </c>
      <c r="F3" s="8" t="s">
        <v>10</v>
      </c>
      <c r="G3" s="6">
        <v>1636</v>
      </c>
    </row>
    <row r="4" ht="16.8" customHeight="1" spans="1:7">
      <c r="A4" s="1" t="s">
        <v>7</v>
      </c>
      <c r="B4" s="1" t="s">
        <v>8</v>
      </c>
      <c r="C4" s="7">
        <v>9020</v>
      </c>
      <c r="E4" s="8" t="s">
        <v>11</v>
      </c>
      <c r="F4" s="8" t="s">
        <v>12</v>
      </c>
      <c r="G4" s="6">
        <v>80</v>
      </c>
    </row>
    <row r="5" ht="16.8" customHeight="1" spans="1:7">
      <c r="A5" s="1" t="s">
        <v>7</v>
      </c>
      <c r="B5" s="1" t="s">
        <v>8</v>
      </c>
      <c r="C5" s="7">
        <v>8450</v>
      </c>
      <c r="E5" s="8" t="s">
        <v>13</v>
      </c>
      <c r="F5" s="8" t="s">
        <v>14</v>
      </c>
      <c r="G5" s="6">
        <f>70*210</f>
        <v>14700</v>
      </c>
    </row>
    <row r="6" ht="16.8" customHeight="1" spans="1:7">
      <c r="A6" s="1" t="s">
        <v>15</v>
      </c>
      <c r="B6" s="1" t="s">
        <v>16</v>
      </c>
      <c r="C6" s="7">
        <v>15000</v>
      </c>
      <c r="E6" s="8" t="s">
        <v>17</v>
      </c>
      <c r="F6" s="8" t="s">
        <v>18</v>
      </c>
      <c r="G6" s="6">
        <v>8000</v>
      </c>
    </row>
    <row r="7" ht="16.8" customHeight="1" spans="1:7">
      <c r="A7" s="1" t="s">
        <v>19</v>
      </c>
      <c r="B7" s="1" t="s">
        <v>20</v>
      </c>
      <c r="C7" s="7">
        <v>15000</v>
      </c>
      <c r="E7" s="8" t="s">
        <v>21</v>
      </c>
      <c r="F7" s="8" t="s">
        <v>22</v>
      </c>
      <c r="G7" s="6">
        <f>7*96</f>
        <v>672</v>
      </c>
    </row>
    <row r="8" ht="16.8" customHeight="1" spans="1:7">
      <c r="A8" s="1" t="s">
        <v>23</v>
      </c>
      <c r="B8" s="1" t="s">
        <v>24</v>
      </c>
      <c r="C8" s="7">
        <v>9504</v>
      </c>
      <c r="E8" s="8" t="s">
        <v>25</v>
      </c>
      <c r="F8" s="8" t="s">
        <v>26</v>
      </c>
      <c r="G8" s="6">
        <f>15*980</f>
        <v>14700</v>
      </c>
    </row>
    <row r="9" ht="16.8" customHeight="1" spans="1:7">
      <c r="A9" s="1" t="s">
        <v>27</v>
      </c>
      <c r="B9" s="1" t="s">
        <v>28</v>
      </c>
      <c r="C9" s="7">
        <v>6500</v>
      </c>
      <c r="E9" s="8" t="s">
        <v>27</v>
      </c>
      <c r="F9" s="8" t="s">
        <v>28</v>
      </c>
      <c r="G9" s="6">
        <v>6500</v>
      </c>
    </row>
    <row r="10" ht="16.8" customHeight="1" spans="1:7">
      <c r="A10" s="1" t="s">
        <v>29</v>
      </c>
      <c r="B10" s="1" t="s">
        <v>30</v>
      </c>
      <c r="C10" s="7">
        <v>5500</v>
      </c>
      <c r="E10" s="8" t="s">
        <v>29</v>
      </c>
      <c r="F10" s="8" t="s">
        <v>30</v>
      </c>
      <c r="G10" s="6">
        <v>5500</v>
      </c>
    </row>
    <row r="11" ht="16.8" customHeight="1" spans="1:7">
      <c r="A11" s="1" t="s">
        <v>31</v>
      </c>
      <c r="B11" s="1" t="s">
        <v>32</v>
      </c>
      <c r="C11" s="7">
        <v>1728</v>
      </c>
      <c r="E11" s="8" t="s">
        <v>33</v>
      </c>
      <c r="F11" s="8" t="s">
        <v>34</v>
      </c>
      <c r="G11" s="6">
        <v>160</v>
      </c>
    </row>
    <row r="12" ht="16.8" customHeight="1" spans="1:7">
      <c r="A12" s="1" t="s">
        <v>17</v>
      </c>
      <c r="B12" s="1" t="s">
        <v>18</v>
      </c>
      <c r="C12" s="7">
        <v>8000</v>
      </c>
      <c r="E12" s="8" t="s">
        <v>35</v>
      </c>
      <c r="F12" s="8" t="s">
        <v>36</v>
      </c>
      <c r="G12" s="6">
        <v>4560</v>
      </c>
    </row>
    <row r="13" ht="16.8" customHeight="1" spans="1:7">
      <c r="A13" s="1" t="s">
        <v>9</v>
      </c>
      <c r="B13" s="1" t="s">
        <v>10</v>
      </c>
      <c r="C13" s="7">
        <v>1636</v>
      </c>
      <c r="E13" s="8" t="s">
        <v>31</v>
      </c>
      <c r="F13" s="8" t="s">
        <v>32</v>
      </c>
      <c r="G13" s="6">
        <f>12*144</f>
        <v>1728</v>
      </c>
    </row>
    <row r="14" ht="16.8" customHeight="1" spans="1:7">
      <c r="A14" s="1" t="s">
        <v>37</v>
      </c>
      <c r="B14" s="1" t="s">
        <v>38</v>
      </c>
      <c r="C14" s="7">
        <v>1214</v>
      </c>
      <c r="E14" s="8" t="s">
        <v>39</v>
      </c>
      <c r="F14" s="8" t="s">
        <v>40</v>
      </c>
      <c r="G14" s="6"/>
    </row>
    <row r="15" ht="16.8" customHeight="1" spans="1:7">
      <c r="A15" s="1" t="s">
        <v>41</v>
      </c>
      <c r="B15" s="1" t="s">
        <v>42</v>
      </c>
      <c r="C15" s="7">
        <v>1183</v>
      </c>
      <c r="E15" s="8" t="s">
        <v>39</v>
      </c>
      <c r="F15" s="8" t="s">
        <v>40</v>
      </c>
      <c r="G15" s="6">
        <f>15*3600</f>
        <v>54000</v>
      </c>
    </row>
    <row r="16" ht="16.8" customHeight="1" spans="1:7">
      <c r="A16" s="1" t="s">
        <v>43</v>
      </c>
      <c r="B16" s="1" t="s">
        <v>44</v>
      </c>
      <c r="C16" s="7">
        <v>2000</v>
      </c>
      <c r="E16" s="8" t="s">
        <v>7</v>
      </c>
      <c r="F16" s="8" t="s">
        <v>8</v>
      </c>
      <c r="G16" s="6">
        <v>54000</v>
      </c>
    </row>
    <row r="17" ht="16.8" customHeight="1" spans="1:7">
      <c r="A17" s="1" t="s">
        <v>45</v>
      </c>
      <c r="B17" s="1" t="s">
        <v>46</v>
      </c>
      <c r="C17" s="7">
        <v>50400</v>
      </c>
      <c r="E17" s="8" t="s">
        <v>7</v>
      </c>
      <c r="F17" s="8" t="s">
        <v>8</v>
      </c>
      <c r="G17" s="6"/>
    </row>
    <row r="18" ht="16.8" customHeight="1" spans="1:7">
      <c r="A18" s="1" t="s">
        <v>39</v>
      </c>
      <c r="B18" s="1" t="s">
        <v>40</v>
      </c>
      <c r="C18" s="7">
        <v>5625</v>
      </c>
      <c r="E18" s="8" t="s">
        <v>45</v>
      </c>
      <c r="F18" s="8" t="s">
        <v>46</v>
      </c>
      <c r="G18" s="6"/>
    </row>
    <row r="19" ht="16.8" customHeight="1" spans="1:7">
      <c r="A19" s="1" t="s">
        <v>33</v>
      </c>
      <c r="B19" s="1" t="s">
        <v>34</v>
      </c>
      <c r="C19" s="7">
        <v>160</v>
      </c>
      <c r="E19" s="8" t="s">
        <v>45</v>
      </c>
      <c r="F19" s="8" t="s">
        <v>46</v>
      </c>
      <c r="G19" s="6">
        <v>54000</v>
      </c>
    </row>
    <row r="20" ht="16.8" customHeight="1" spans="1:7">
      <c r="A20" s="1" t="s">
        <v>35</v>
      </c>
      <c r="B20" s="1" t="s">
        <v>36</v>
      </c>
      <c r="C20" s="7">
        <v>4560</v>
      </c>
      <c r="E20" s="8" t="s">
        <v>47</v>
      </c>
      <c r="F20" s="8" t="s">
        <v>48</v>
      </c>
      <c r="G20" s="6">
        <v>4200</v>
      </c>
    </row>
    <row r="21" ht="16.8" customHeight="1" spans="1:7">
      <c r="A21" s="1" t="s">
        <v>21</v>
      </c>
      <c r="B21" s="1" t="s">
        <v>22</v>
      </c>
      <c r="C21" s="7">
        <v>672</v>
      </c>
      <c r="E21" s="8" t="s">
        <v>49</v>
      </c>
      <c r="F21" s="8" t="s">
        <v>50</v>
      </c>
      <c r="G21" s="6">
        <f>2*1386</f>
        <v>2772</v>
      </c>
    </row>
    <row r="22" ht="16.8" customHeight="1" spans="1:7">
      <c r="A22" s="1" t="s">
        <v>37</v>
      </c>
      <c r="B22" s="1" t="s">
        <v>38</v>
      </c>
      <c r="C22" s="7">
        <v>1338</v>
      </c>
      <c r="E22" s="8" t="s">
        <v>51</v>
      </c>
      <c r="F22" s="8" t="s">
        <v>52</v>
      </c>
      <c r="G22" s="6">
        <f>2*1386</f>
        <v>2772</v>
      </c>
    </row>
    <row r="23" ht="16.8" customHeight="1" spans="1:7">
      <c r="A23" s="1" t="s">
        <v>53</v>
      </c>
      <c r="B23" s="1" t="s">
        <v>54</v>
      </c>
      <c r="C23" s="7">
        <v>41580</v>
      </c>
      <c r="E23" s="8" t="s">
        <v>41</v>
      </c>
      <c r="F23" s="8" t="s">
        <v>42</v>
      </c>
      <c r="G23" s="6">
        <v>1183</v>
      </c>
    </row>
    <row r="24" ht="16.8" customHeight="1" spans="1:7">
      <c r="A24" s="1" t="s">
        <v>45</v>
      </c>
      <c r="B24" s="1" t="s">
        <v>46</v>
      </c>
      <c r="C24" s="7">
        <v>3600</v>
      </c>
      <c r="E24" s="8" t="s">
        <v>23</v>
      </c>
      <c r="F24" s="8" t="s">
        <v>24</v>
      </c>
      <c r="G24" s="6">
        <f>2*4752</f>
        <v>9504</v>
      </c>
    </row>
    <row r="25" ht="16.8" customHeight="1" spans="1:7">
      <c r="A25" s="1" t="s">
        <v>55</v>
      </c>
      <c r="B25" s="1" t="s">
        <v>56</v>
      </c>
      <c r="C25" s="7">
        <v>9520</v>
      </c>
      <c r="E25" s="8" t="s">
        <v>43</v>
      </c>
      <c r="F25" s="8" t="s">
        <v>44</v>
      </c>
      <c r="G25" s="6">
        <v>2000</v>
      </c>
    </row>
    <row r="26" ht="16.8" customHeight="1" spans="1:7">
      <c r="A26" s="1" t="s">
        <v>49</v>
      </c>
      <c r="B26" s="1" t="s">
        <v>50</v>
      </c>
      <c r="C26" s="7">
        <v>2772</v>
      </c>
      <c r="E26" s="8" t="s">
        <v>15</v>
      </c>
      <c r="F26" s="8" t="s">
        <v>16</v>
      </c>
      <c r="G26" s="6">
        <v>15000</v>
      </c>
    </row>
    <row r="27" ht="16.8" customHeight="1" spans="1:7">
      <c r="A27" s="1" t="s">
        <v>51</v>
      </c>
      <c r="B27" s="1" t="s">
        <v>52</v>
      </c>
      <c r="C27" s="7">
        <v>2772</v>
      </c>
      <c r="E27" s="8" t="s">
        <v>19</v>
      </c>
      <c r="F27" s="8" t="s">
        <v>20</v>
      </c>
      <c r="G27" s="6">
        <v>15000</v>
      </c>
    </row>
    <row r="28" ht="16.8" customHeight="1" spans="1:7">
      <c r="A28" s="1" t="s">
        <v>11</v>
      </c>
      <c r="B28" s="1" t="s">
        <v>12</v>
      </c>
      <c r="C28" s="7">
        <v>80</v>
      </c>
      <c r="E28" s="8" t="s">
        <v>55</v>
      </c>
      <c r="F28" s="8" t="s">
        <v>56</v>
      </c>
      <c r="G28" s="6">
        <f>2*4760</f>
        <v>9520</v>
      </c>
    </row>
    <row r="29" ht="16.8" customHeight="1" spans="1:7">
      <c r="A29" s="1" t="s">
        <v>13</v>
      </c>
      <c r="B29" s="1" t="s">
        <v>14</v>
      </c>
      <c r="C29" s="7">
        <v>14700</v>
      </c>
      <c r="E29" s="8" t="s">
        <v>53</v>
      </c>
      <c r="F29" s="8" t="s">
        <v>54</v>
      </c>
      <c r="G29" s="6">
        <f>7*5940</f>
        <v>41580</v>
      </c>
    </row>
    <row r="30" ht="16.8" customHeight="1" spans="1:7">
      <c r="A30" s="1" t="s">
        <v>39</v>
      </c>
      <c r="B30" s="1" t="s">
        <v>40</v>
      </c>
      <c r="C30" s="7">
        <v>48375</v>
      </c>
      <c r="E30" s="8" t="s">
        <v>37</v>
      </c>
      <c r="F30" s="8" t="s">
        <v>38</v>
      </c>
      <c r="G30" s="6">
        <f>2*1276</f>
        <v>2552</v>
      </c>
    </row>
    <row r="31" ht="16.8" customHeight="1" spans="1:7">
      <c r="A31" s="1" t="s">
        <v>25</v>
      </c>
      <c r="B31" s="1" t="s">
        <v>26</v>
      </c>
      <c r="C31" s="7">
        <v>14700</v>
      </c>
      <c r="E31" s="8" t="s">
        <v>37</v>
      </c>
      <c r="F31" s="8" t="s">
        <v>38</v>
      </c>
      <c r="G31" s="6"/>
    </row>
    <row r="32" ht="16.8" customHeight="1" spans="1:7">
      <c r="A32" s="1" t="s">
        <v>47</v>
      </c>
      <c r="B32" s="1" t="s">
        <v>48</v>
      </c>
      <c r="C32" s="7">
        <v>4200</v>
      </c>
    </row>
  </sheetData>
  <mergeCells count="2">
    <mergeCell ref="A1:C1"/>
    <mergeCell ref="E1:G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无名1404972959</cp:lastModifiedBy>
  <dcterms:created xsi:type="dcterms:W3CDTF">2026-07-08T07:25:00Z</dcterms:created>
  <dcterms:modified xsi:type="dcterms:W3CDTF">2026-07-08T07:31:21Z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A79D55EB76974EE69152016916875716_12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